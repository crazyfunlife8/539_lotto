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輸入參數" sheetId="2" state="visible" r:id="rId2"/>
    <sheet xmlns:r="http://schemas.openxmlformats.org/officeDocument/2006/relationships" name="機率" sheetId="3" state="visible" r:id="rId3"/>
    <sheet xmlns:r="http://schemas.openxmlformats.org/officeDocument/2006/relationships" name="單期試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;(#,##0.00);-"/>
    <numFmt numFmtId="165" formatCode="0.0%;(0.0%);-"/>
    <numFmt numFmtId="166" formatCode="#,##0;(#,##0);-"/>
    <numFmt numFmtId="167" formatCode="0.000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000000"/>
    </font>
    <font>
      <name val="Arial"/>
      <b val="1"/>
    </font>
    <font>
      <name val="Arial"/>
      <color rgb="000000FF"/>
    </font>
    <font>
      <name val="Arial"/>
      <color rgb="00FF0000"/>
    </font>
    <font>
      <name val="Arial"/>
      <color theme="1"/>
      <sz val="11"/>
    </font>
  </fonts>
  <fills count="4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2" borderId="0" pivotButton="0" quotePrefix="0" xfId="0"/>
    <xf numFmtId="0" fontId="2" fillId="0" borderId="0" pivotButton="0" quotePrefix="0" xfId="0"/>
    <xf numFmtId="164" fontId="4" fillId="3" borderId="0" pivotButton="0" quotePrefix="0" xfId="0"/>
    <xf numFmtId="165" fontId="4" fillId="3" borderId="0" pivotButton="0" quotePrefix="0" xfId="0"/>
    <xf numFmtId="166" fontId="4" fillId="3" borderId="0" pivotButton="0" quotePrefix="0" xfId="0"/>
    <xf numFmtId="0" fontId="6" fillId="0" borderId="0" pivotButton="0" quotePrefix="0" xfId="0"/>
    <xf numFmtId="165" fontId="6" fillId="0" borderId="0" pivotButton="0" quotePrefix="0" xfId="0"/>
    <xf numFmtId="166" fontId="6" fillId="0" borderId="0" pivotButton="0" quotePrefix="0" xfId="0"/>
    <xf numFmtId="167" fontId="6" fillId="0" borderId="0" pivotButton="0" quotePrefix="0" xfId="0"/>
    <xf numFmtId="10" fontId="6" fillId="0" borderId="0" pivotButton="0" quotePrefix="0" xfId="0"/>
    <xf numFmtId="0" fontId="3" fillId="0" borderId="0" pivotButton="0" quotePrefix="0" xfId="0"/>
    <xf numFmtId="164" fontId="2" fillId="0" borderId="0" pivotButton="0" quotePrefix="0" xfId="0"/>
    <xf numFmtId="164" fontId="3" fillId="0" borderId="0" pivotButton="0" quotePrefix="0" xfId="0"/>
    <xf numFmtId="165" fontId="2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39彩金桶 經濟模型試算（框架版）</t>
        </is>
      </c>
    </row>
    <row r="2">
      <c r="A2" s="2" t="inlineStr"/>
    </row>
    <row r="3">
      <c r="A3" s="2" t="inlineStr">
        <is>
          <t>用途：上游賠率表到位後，把數字填進「輸入參數」的黃色格子，其他分頁自動算出每期平台損益、玩家回報率、兩種頭獎處理方案的差異。</t>
        </is>
      </c>
    </row>
    <row r="4">
      <c r="A4" s="2" t="inlineStr"/>
    </row>
    <row r="5">
      <c r="A5" s="3" t="inlineStr">
        <is>
          <t>顏色說明</t>
        </is>
      </c>
    </row>
    <row r="6">
      <c r="A6" s="2" t="inlineStr">
        <is>
          <t>藍字＋黃底：需要填寫或可調整的輸入值（目前多為「範例值」，不是決策）</t>
        </is>
      </c>
    </row>
    <row r="7">
      <c r="A7" s="2" t="inlineStr">
        <is>
          <t>黑字：公式，請勿手動修改</t>
        </is>
      </c>
    </row>
    <row r="8">
      <c r="A8" s="2" t="inlineStr"/>
    </row>
    <row r="9">
      <c r="A9" s="3" t="inlineStr">
        <is>
          <t>目前狀態</t>
        </is>
      </c>
    </row>
    <row r="10">
      <c r="A10" s="2" t="inlineStr">
        <is>
          <t>・上游成本與派彩（輸入參數 B11:B15）目前為 0，等賠率表。填入前，「單期試算」的平台淨利不具參考價值。</t>
        </is>
      </c>
    </row>
    <row r="11">
      <c r="A11" s="2" t="inlineStr">
        <is>
          <t>・① ② ③ 每注與每張結算的 energy 消耗，部分為 0（待測試網實測，系統架構 V3），目前 energy 成本偏低估。</t>
        </is>
      </c>
    </row>
    <row r="12">
      <c r="A12" s="2" t="inlineStr">
        <is>
          <t>・TRX 價格為範例值，使用時請填當前價格。</t>
        </is>
      </c>
    </row>
    <row r="13">
      <c r="A13" s="2" t="inlineStr"/>
    </row>
    <row r="14">
      <c r="A14" s="3" t="inlineStr">
        <is>
          <t>計算方式說明</t>
        </is>
      </c>
    </row>
    <row r="15">
      <c r="A15" s="2" t="inlineStr">
        <is>
          <t>・全部為「期望值」（長期平均）。單一期實際結果會上下波動，尤其中 3 碼與頭獎。</t>
        </is>
      </c>
    </row>
    <row r="16">
      <c r="A16" s="2" t="inlineStr">
        <is>
          <t>・方案一（沒人中頭獎 → 全額滾存）：長期穩定後，每期提撥進彩池的錢平均全部回到玩家手上，彩池平均規模較大。</t>
        </is>
      </c>
    </row>
    <row r="17">
      <c r="A17" s="2" t="inlineStr">
        <is>
          <t>・方案二（沒人中頭獎 → 留 20%、其餘歸平台）：平台每期平均收回「沒人中機率 × 該期提撥金額」，彩池平均規模約為每期提撥的 1.25 倍。</t>
        </is>
      </c>
    </row>
    <row r="18">
      <c r="A18" s="2" t="inlineStr">
        <is>
          <t>・4 碼保底獎：以「同期至少有一張中 5 碼」的機率近似計算。</t>
        </is>
      </c>
    </row>
    <row r="19">
      <c r="A19" s="2" t="inlineStr">
        <is>
          <t>・推廣分潤以「每注都付全額分潤」計算（鏈上無法阻止玩家自己推廣自己，見 PRD F8）。</t>
        </is>
      </c>
    </row>
    <row r="20">
      <c r="A20" s="2" t="inlineStr"/>
    </row>
    <row r="21">
      <c r="A21" s="3" t="inlineStr">
        <is>
          <t>來源</t>
        </is>
      </c>
    </row>
    <row r="22">
      <c r="A22" s="2" t="inlineStr">
        <is>
          <t>・中獎機率：39 選 5、開 5 個號碼的組合數學（組合數以乘除算式表示），見「機率」分頁。</t>
        </is>
      </c>
    </row>
    <row r="23">
      <c r="A23" s="2" t="inlineStr">
        <is>
          <t>・energy 單價 100 sun、USDT 轉帳 64,285 / 130,285 energy：TRON 主網 2026-10-01 實測，見 _archive/研究/開獎來源與TRON費用查證.md。</t>
        </is>
      </c>
    </row>
    <row r="24">
      <c r="A24" s="2" t="inlineStr">
        <is>
          <t>・範例獎金（5 / 8 / 35 USDT，每注 10 USDT）：依舊規則 500 / 800 / 3500 點等比例縮小，僅示範格式。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70" customWidth="1" min="4" max="4"/>
  </cols>
  <sheetData>
    <row r="1">
      <c r="A1" s="4" t="inlineStr">
        <is>
          <t>輸入參數（黃底藍字可改）</t>
        </is>
      </c>
    </row>
    <row r="2">
      <c r="A2" s="5" t="inlineStr">
        <is>
          <t>項目</t>
        </is>
      </c>
      <c r="B2" s="5" t="inlineStr">
        <is>
          <t>數值</t>
        </is>
      </c>
      <c r="C2" s="5" t="inlineStr">
        <is>
          <t>單位</t>
        </is>
      </c>
      <c r="D2" s="5" t="inlineStr">
        <is>
          <t>說明／來源</t>
        </is>
      </c>
    </row>
    <row r="3">
      <c r="A3" s="6" t="inlineStr">
        <is>
          <t>每注金額</t>
        </is>
      </c>
      <c r="B3" s="7" t="n">
        <v>10</v>
      </c>
      <c r="C3" s="6" t="inlineStr">
        <is>
          <t>USDT</t>
        </is>
      </c>
      <c r="D3" s="6" t="inlineStr">
        <is>
          <t>範例值，非決策</t>
        </is>
      </c>
    </row>
    <row r="4">
      <c r="A4" s="6" t="inlineStr">
        <is>
          <t>中 1 碼固定獎金</t>
        </is>
      </c>
      <c r="B4" s="7" t="n">
        <v>5</v>
      </c>
      <c r="C4" s="6" t="inlineStr">
        <is>
          <t>USDT</t>
        </is>
      </c>
      <c r="D4" s="6" t="inlineStr">
        <is>
          <t>範例值（舊規則 500 點等比例縮小）</t>
        </is>
      </c>
    </row>
    <row r="5">
      <c r="A5" s="6" t="inlineStr">
        <is>
          <t>中 2 碼獎金</t>
        </is>
      </c>
      <c r="B5" s="7" t="n">
        <v>8</v>
      </c>
      <c r="C5" s="6" t="inlineStr">
        <is>
          <t>USDT</t>
        </is>
      </c>
      <c r="D5" s="6" t="inlineStr">
        <is>
          <t>範例值【待賠率表】</t>
        </is>
      </c>
    </row>
    <row r="6">
      <c r="A6" s="6" t="inlineStr">
        <is>
          <t>中 3 碼獎金</t>
        </is>
      </c>
      <c r="B6" s="7" t="n">
        <v>35</v>
      </c>
      <c r="C6" s="6" t="inlineStr">
        <is>
          <t>USDT</t>
        </is>
      </c>
      <c r="D6" s="6" t="inlineStr">
        <is>
          <t>範例值【待賠率表】</t>
        </is>
      </c>
    </row>
    <row r="7">
      <c r="A7" s="6" t="inlineStr">
        <is>
          <t>4 碼保底獎</t>
        </is>
      </c>
      <c r="B7" s="7" t="n">
        <v>35</v>
      </c>
      <c r="C7" s="6" t="inlineStr">
        <is>
          <t>USDT</t>
        </is>
      </c>
      <c r="D7" s="6" t="inlineStr">
        <is>
          <t>範例值；規則要求不得低於中 3 碼獎金【待賠率表】</t>
        </is>
      </c>
    </row>
    <row r="8">
      <c r="A8" s="6" t="inlineStr">
        <is>
          <t>頭獎提撥比例</t>
        </is>
      </c>
      <c r="B8" s="8" t="n">
        <v>0.1</v>
      </c>
      <c r="C8" s="6" t="inlineStr">
        <is>
          <t>% / 每注</t>
        </is>
      </c>
      <c r="D8" s="6" t="inlineStr">
        <is>
          <t>每注進頭獎彩池的比例；範例值</t>
        </is>
      </c>
    </row>
    <row r="9">
      <c r="A9" s="6" t="inlineStr">
        <is>
          <t>推廣分潤 第一層</t>
        </is>
      </c>
      <c r="B9" s="8" t="n">
        <v>0.02</v>
      </c>
      <c r="C9" s="6" t="inlineStr">
        <is>
          <t>% / 每注</t>
        </is>
      </c>
      <c r="D9" s="6" t="inlineStr">
        <is>
          <t>範例值</t>
        </is>
      </c>
    </row>
    <row r="10">
      <c r="A10" s="6" t="inlineStr">
        <is>
          <t>推廣分潤 第二層</t>
        </is>
      </c>
      <c r="B10" s="8" t="n">
        <v>0.01</v>
      </c>
      <c r="C10" s="6" t="inlineStr">
        <is>
          <t>% / 每注</t>
        </is>
      </c>
      <c r="D10" s="6" t="inlineStr">
        <is>
          <t>範例值</t>
        </is>
      </c>
    </row>
    <row r="11">
      <c r="A11" s="6" t="inlineStr">
        <is>
          <t>上游：每張柱單下注成本</t>
        </is>
      </c>
      <c r="B11" s="7" t="n">
        <v>0</v>
      </c>
      <c r="C11" s="6" t="inlineStr">
        <is>
          <t>USDT</t>
        </is>
      </c>
      <c r="D11" s="6" t="inlineStr">
        <is>
          <t>【待賠率表】一張 5 碼柱單轉上游的總成本</t>
        </is>
      </c>
    </row>
    <row r="12">
      <c r="A12" s="6" t="inlineStr">
        <is>
          <t>上游：中 2 碼時派彩</t>
        </is>
      </c>
      <c r="B12" s="7" t="n">
        <v>0</v>
      </c>
      <c r="C12" s="6" t="inlineStr">
        <is>
          <t>USDT</t>
        </is>
      </c>
      <c r="D12" s="6" t="inlineStr">
        <is>
          <t>【待賠率表】該張柱單在上游可回收的總額</t>
        </is>
      </c>
    </row>
    <row r="13">
      <c r="A13" s="6" t="inlineStr">
        <is>
          <t>上游：中 3 碼時派彩</t>
        </is>
      </c>
      <c r="B13" s="7" t="n">
        <v>0</v>
      </c>
      <c r="C13" s="6" t="inlineStr">
        <is>
          <t>USDT</t>
        </is>
      </c>
      <c r="D13" s="6" t="inlineStr">
        <is>
          <t>【待賠率表】</t>
        </is>
      </c>
    </row>
    <row r="14">
      <c r="A14" s="6" t="inlineStr">
        <is>
          <t>上游：中 4 碼時派彩</t>
        </is>
      </c>
      <c r="B14" s="7" t="n">
        <v>0</v>
      </c>
      <c r="C14" s="6" t="inlineStr">
        <is>
          <t>USDT</t>
        </is>
      </c>
      <c r="D14" s="6" t="inlineStr">
        <is>
          <t>【待賠率表】</t>
        </is>
      </c>
    </row>
    <row r="15">
      <c r="A15" s="6" t="inlineStr">
        <is>
          <t>上游：中 5 碼時派彩</t>
        </is>
      </c>
      <c r="B15" s="7" t="n">
        <v>0</v>
      </c>
      <c r="C15" s="6" t="inlineStr">
        <is>
          <t>USDT</t>
        </is>
      </c>
      <c r="D15" s="6" t="inlineStr">
        <is>
          <t>【待賠率表】</t>
        </is>
      </c>
    </row>
    <row r="16">
      <c r="A16" s="6" t="inlineStr">
        <is>
          <t>① 授權下注 佔比</t>
        </is>
      </c>
      <c r="B16" s="8" t="n">
        <v>0.4</v>
      </c>
      <c r="C16" s="6" t="inlineStr">
        <is>
          <t>%</t>
        </is>
      </c>
      <c r="D16" s="6" t="inlineStr">
        <is>
          <t>範例值；三者合計須為 100%</t>
        </is>
      </c>
    </row>
    <row r="17">
      <c r="A17" s="6" t="inlineStr">
        <is>
          <t>② 轉帳下注 佔比</t>
        </is>
      </c>
      <c r="B17" s="8" t="n">
        <v>0.3</v>
      </c>
      <c r="C17" s="6" t="inlineStr">
        <is>
          <t>%</t>
        </is>
      </c>
      <c r="D17" s="6" t="inlineStr">
        <is>
          <t>範例值</t>
        </is>
      </c>
    </row>
    <row r="18">
      <c r="A18" s="6" t="inlineStr">
        <is>
          <t>③ 餘額下注 佔比</t>
        </is>
      </c>
      <c r="B18" s="8" t="n">
        <v>0.3</v>
      </c>
      <c r="C18" s="6" t="inlineStr">
        <is>
          <t>%</t>
        </is>
      </c>
      <c r="D18" s="6" t="inlineStr">
        <is>
          <t>範例值</t>
        </is>
      </c>
    </row>
    <row r="19">
      <c r="A19" s="6" t="inlineStr">
        <is>
          <t>energy 單價</t>
        </is>
      </c>
      <c r="B19" s="9" t="n">
        <v>100</v>
      </c>
      <c r="C19" s="6" t="inlineStr">
        <is>
          <t>sun / energy</t>
        </is>
      </c>
      <c r="D19" s="6" t="inlineStr">
        <is>
          <t>直接燒 TRX 的價格（主網 2026-10-01 實測）；租用或質押可更低</t>
        </is>
      </c>
    </row>
    <row r="20">
      <c r="A20" s="6" t="inlineStr">
        <is>
          <t>TRX 價格</t>
        </is>
      </c>
      <c r="B20" s="7" t="n">
        <v>0.3</v>
      </c>
      <c r="C20" s="6" t="inlineStr">
        <is>
          <t>USDT / TRX</t>
        </is>
      </c>
      <c r="D20" s="6" t="inlineStr">
        <is>
          <t>範例值，使用時請填當前價格</t>
        </is>
      </c>
    </row>
    <row r="21">
      <c r="A21" s="6" t="inlineStr">
        <is>
          <t>① 每注 energy（平台代付）</t>
        </is>
      </c>
      <c r="B21" s="9" t="n">
        <v>64285</v>
      </c>
      <c r="C21" s="6" t="inlineStr">
        <is>
          <t>energy</t>
        </is>
      </c>
      <c r="D21" s="6" t="inlineStr">
        <is>
          <t>下限：只算資金合約從玩家錢包扣 USDT；合約記帳另計【待實測】</t>
        </is>
      </c>
    </row>
    <row r="22">
      <c r="A22" s="6" t="inlineStr">
        <is>
          <t>② 每注登記 energy（平台付）</t>
        </is>
      </c>
      <c r="B22" s="9" t="n">
        <v>64285</v>
      </c>
      <c r="C22" s="6" t="inlineStr">
        <is>
          <t>energy</t>
        </is>
      </c>
      <c r="D22" s="6" t="inlineStr">
        <is>
          <t>下限：登記當下把 USDT 從彩金桶轉入資金合約一次；按每張計為上限（一張待付單多張號碼時只轉一次）；合約記帳另計【待實測】</t>
        </is>
      </c>
    </row>
    <row r="23">
      <c r="A23" s="6" t="inlineStr">
        <is>
          <t>③ 每注 energy（平台代付）</t>
        </is>
      </c>
      <c r="B23" s="9" t="n">
        <v>0</v>
      </c>
      <c r="C23" s="6" t="inlineStr">
        <is>
          <t>energy</t>
        </is>
      </c>
      <c r="D23" s="6" t="inlineStr">
        <is>
          <t>【待實測】</t>
        </is>
      </c>
    </row>
    <row r="24">
      <c r="A24" s="6" t="inlineStr">
        <is>
          <t>每張柱單結算 energy</t>
        </is>
      </c>
      <c r="B24" s="9" t="n">
        <v>0</v>
      </c>
      <c r="C24" s="6" t="inlineStr">
        <is>
          <t>energy</t>
        </is>
      </c>
      <c r="D24" s="6" t="inlineStr">
        <is>
          <t>【待實測】</t>
        </is>
      </c>
    </row>
    <row r="25">
      <c r="A25" s="6" t="inlineStr">
        <is>
          <t>② 自動派獎每筆 energy</t>
        </is>
      </c>
      <c r="B25" s="9" t="n">
        <v>130285</v>
      </c>
      <c r="C25" s="6" t="inlineStr">
        <is>
          <t>energy</t>
        </is>
      </c>
      <c r="D25" s="6" t="inlineStr">
        <is>
          <t>收款錢包 USDT 為 0 時的 USDT 轉帳（主網實測）；架構改為每地址每期合併一筆，此處按每張中獎柱單計，為上限估計</t>
        </is>
      </c>
    </row>
    <row r="26">
      <c r="A26" s="6" t="inlineStr">
        <is>
          <t>每期 USDT 搬移次數</t>
        </is>
      </c>
      <c r="B26" s="9" t="n">
        <v>0</v>
      </c>
      <c r="C26" s="6" t="inlineStr">
        <is>
          <t>次</t>
        </is>
      </c>
      <c r="D26" s="6" t="inlineStr">
        <is>
          <t>架構 v0.5：② 款項改在登記當下轉入（已計入 B22），其餘都是帳本內記帳</t>
        </is>
      </c>
    </row>
    <row r="27">
      <c r="A27" s="6" t="inlineStr">
        <is>
          <t>每次搬移 energy</t>
        </is>
      </c>
      <c r="B27" s="9" t="n">
        <v>64285</v>
      </c>
      <c r="C27" s="6" t="inlineStr">
        <is>
          <t>energy</t>
        </is>
      </c>
      <c r="D27" s="6" t="inlineStr">
        <is>
          <t>USDT 轉帳（收款方已有 USDT，主網實測）</t>
        </is>
      </c>
    </row>
    <row r="28">
      <c r="A28" s="10" t="inlineStr">
        <is>
          <t>下注方式佔比合計（須為 100%）</t>
        </is>
      </c>
      <c r="B28" s="11">
        <f>B16+B17+B18</f>
        <v/>
      </c>
      <c r="D28" s="10">
        <f>IF(ABS(B28-1)&lt;0.0001,"OK","請修正：合計不是 100%")</f>
        <v/>
      </c>
    </row>
    <row r="29">
      <c r="A29" s="10" t="inlineStr">
        <is>
          <t>平台份額比例（扣除頭獎提撥與分潤）</t>
        </is>
      </c>
      <c r="B29" s="11">
        <f>1-B8-B9-B10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8" customWidth="1" min="4" max="4"/>
  </cols>
  <sheetData>
    <row r="1">
      <c r="A1" s="4" t="inlineStr">
        <is>
          <t>每張柱單中獎機率（39 選 5、開 5 個）</t>
        </is>
      </c>
    </row>
    <row r="2">
      <c r="A2" s="5" t="inlineStr">
        <is>
          <t>中幾碼</t>
        </is>
      </c>
      <c r="B2" s="5" t="inlineStr">
        <is>
          <t>組合數</t>
        </is>
      </c>
      <c r="C2" s="5" t="inlineStr">
        <is>
          <t>機率</t>
        </is>
      </c>
      <c r="D2" s="5" t="inlineStr">
        <is>
          <t>約每幾張中一次</t>
        </is>
      </c>
    </row>
    <row r="3">
      <c r="A3" s="10" t="n">
        <v>0</v>
      </c>
      <c r="B3" s="12">
        <f>1*((34*33*32*31*30)/(1*2*3*4*5))</f>
        <v/>
      </c>
      <c r="C3" s="13">
        <f>B3/((39*38*37*36*35)/(1*2*3*4*5))</f>
        <v/>
      </c>
      <c r="D3" s="12">
        <f>IF(C3&gt;0,1/C3,0)</f>
        <v/>
      </c>
    </row>
    <row r="4">
      <c r="A4" s="10" t="n">
        <v>1</v>
      </c>
      <c r="B4" s="12">
        <f>((5)/(1))*((34*33*32*31)/(1*2*3*4))</f>
        <v/>
      </c>
      <c r="C4" s="13">
        <f>B4/((39*38*37*36*35)/(1*2*3*4*5))</f>
        <v/>
      </c>
      <c r="D4" s="12">
        <f>IF(C4&gt;0,1/C4,0)</f>
        <v/>
      </c>
    </row>
    <row r="5">
      <c r="A5" s="10" t="n">
        <v>2</v>
      </c>
      <c r="B5" s="12">
        <f>((5*4)/(1*2))*((34*33*32)/(1*2*3))</f>
        <v/>
      </c>
      <c r="C5" s="13">
        <f>B5/((39*38*37*36*35)/(1*2*3*4*5))</f>
        <v/>
      </c>
      <c r="D5" s="12">
        <f>IF(C5&gt;0,1/C5,0)</f>
        <v/>
      </c>
    </row>
    <row r="6">
      <c r="A6" s="10" t="n">
        <v>3</v>
      </c>
      <c r="B6" s="12">
        <f>((5*4*3)/(1*2*3))*((34*33)/(1*2))</f>
        <v/>
      </c>
      <c r="C6" s="13">
        <f>B6/((39*38*37*36*35)/(1*2*3*4*5))</f>
        <v/>
      </c>
      <c r="D6" s="12">
        <f>IF(C6&gt;0,1/C6,0)</f>
        <v/>
      </c>
    </row>
    <row r="7">
      <c r="A7" s="10" t="n">
        <v>4</v>
      </c>
      <c r="B7" s="12">
        <f>((5*4*3*2)/(1*2*3*4))*((34)/(1))</f>
        <v/>
      </c>
      <c r="C7" s="13">
        <f>B7/((39*38*37*36*35)/(1*2*3*4*5))</f>
        <v/>
      </c>
      <c r="D7" s="12">
        <f>IF(C7&gt;0,1/C7,0)</f>
        <v/>
      </c>
    </row>
    <row r="8">
      <c r="A8" s="10" t="n">
        <v>5</v>
      </c>
      <c r="B8" s="12">
        <f>((5*4*3*2*1)/(1*2*3*4*5))*1</f>
        <v/>
      </c>
      <c r="C8" s="13">
        <f>B8/((39*38*37*36*35)/(1*2*3*4*5))</f>
        <v/>
      </c>
      <c r="D8" s="12">
        <f>IF(C8&gt;0,1/C8,0)</f>
        <v/>
      </c>
    </row>
    <row r="9">
      <c r="A9" s="10" t="inlineStr">
        <is>
          <t>合計</t>
        </is>
      </c>
      <c r="B9" s="12">
        <f>SUM(B3:B8)</f>
        <v/>
      </c>
      <c r="C9" s="13">
        <f>SUM(C3:C8)</f>
        <v/>
      </c>
    </row>
    <row r="10">
      <c r="A10" s="10" t="inlineStr">
        <is>
          <t>中 4 碼以上</t>
        </is>
      </c>
      <c r="C10" s="13">
        <f>C7+C8</f>
        <v/>
      </c>
      <c r="D10" s="12">
        <f>1/C10</f>
        <v/>
      </c>
    </row>
    <row r="11">
      <c r="A11" s="10" t="inlineStr">
        <is>
          <t>中 2 碼以上（上游有派彩）</t>
        </is>
      </c>
      <c r="C11" s="14">
        <f>C5+C6+C7+C8</f>
        <v/>
      </c>
    </row>
    <row r="12">
      <c r="A12" s="10" t="inlineStr">
        <is>
          <t>中 0–1 碼（上游無派彩）</t>
        </is>
      </c>
      <c r="C12" s="14">
        <f>C3+C4</f>
        <v/>
      </c>
    </row>
    <row r="13"/>
    <row r="14">
      <c r="A14" s="15" t="inlineStr">
        <is>
          <t>每期柱單數 vs 該期有人中頭獎（4 碼以上）的機率</t>
        </is>
      </c>
    </row>
    <row r="15">
      <c r="A15" s="5" t="inlineStr">
        <is>
          <t>每期柱單數</t>
        </is>
      </c>
      <c r="B15" s="5" t="inlineStr">
        <is>
          <t>有人中機率</t>
        </is>
      </c>
      <c r="C15" s="5" t="inlineStr">
        <is>
          <t>沒人中機率</t>
        </is>
      </c>
    </row>
    <row r="16">
      <c r="A16" s="9" t="n">
        <v>100</v>
      </c>
      <c r="B16" s="11">
        <f>1-(1-$C$10)^A16</f>
        <v/>
      </c>
      <c r="C16" s="11">
        <f>(1-$C$10)^A16</f>
        <v/>
      </c>
    </row>
    <row r="17">
      <c r="A17" s="9" t="n">
        <v>300</v>
      </c>
      <c r="B17" s="11">
        <f>1-(1-$C$10)^A17</f>
        <v/>
      </c>
      <c r="C17" s="11">
        <f>(1-$C$10)^A17</f>
        <v/>
      </c>
    </row>
    <row r="18">
      <c r="A18" s="9" t="n">
        <v>500</v>
      </c>
      <c r="B18" s="11">
        <f>1-(1-$C$10)^A18</f>
        <v/>
      </c>
      <c r="C18" s="11">
        <f>(1-$C$10)^A18</f>
        <v/>
      </c>
    </row>
    <row r="19">
      <c r="A19" s="9" t="n">
        <v>1000</v>
      </c>
      <c r="B19" s="11">
        <f>1-(1-$C$10)^A19</f>
        <v/>
      </c>
      <c r="C19" s="11">
        <f>(1-$C$10)^A19</f>
        <v/>
      </c>
    </row>
    <row r="20">
      <c r="A20" s="9" t="n">
        <v>2000</v>
      </c>
      <c r="B20" s="11">
        <f>1-(1-$C$10)^A20</f>
        <v/>
      </c>
      <c r="C20" s="11">
        <f>(1-$C$10)^A20</f>
        <v/>
      </c>
    </row>
    <row r="21">
      <c r="A21" s="9" t="n">
        <v>3000</v>
      </c>
      <c r="B21" s="11">
        <f>1-(1-$C$10)^A21</f>
        <v/>
      </c>
      <c r="C21" s="11">
        <f>(1-$C$10)^A21</f>
        <v/>
      </c>
    </row>
    <row r="22">
      <c r="A22" s="9" t="n">
        <v>5000</v>
      </c>
      <c r="B22" s="11">
        <f>1-(1-$C$10)^A22</f>
        <v/>
      </c>
      <c r="C22" s="11">
        <f>(1-$C$10)^A22</f>
        <v/>
      </c>
    </row>
    <row r="23">
      <c r="A23" s="9" t="n">
        <v>10000</v>
      </c>
      <c r="B23" s="11">
        <f>1-(1-$C$10)^A23</f>
        <v/>
      </c>
      <c r="C23" s="11">
        <f>(1-$C$10)^A23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單期損益試算（期望值，單位 USDT）</t>
        </is>
      </c>
    </row>
    <row r="2">
      <c r="A2" s="10" t="inlineStr">
        <is>
          <t>每一欄是一種每期柱單數情境；第 3 列黃格可改。</t>
        </is>
      </c>
    </row>
    <row r="3">
      <c r="A3" s="15" t="inlineStr">
        <is>
          <t>每期柱單數</t>
        </is>
      </c>
      <c r="B3" s="9" t="n">
        <v>500</v>
      </c>
      <c r="C3" s="9" t="n">
        <v>1000</v>
      </c>
      <c r="D3" s="9" t="n">
        <v>3000</v>
      </c>
      <c r="E3" s="9" t="n">
        <v>5000</v>
      </c>
    </row>
    <row r="4">
      <c r="A4" s="6" t="inlineStr">
        <is>
          <t>下注總額</t>
        </is>
      </c>
      <c r="B4" s="16">
        <f>B3*'輸入參數'!$B$3</f>
        <v/>
      </c>
      <c r="C4" s="16">
        <f>C3*'輸入參數'!$B$3</f>
        <v/>
      </c>
      <c r="D4" s="16">
        <f>D3*'輸入參數'!$B$3</f>
        <v/>
      </c>
      <c r="E4" s="16">
        <f>E3*'輸入參數'!$B$3</f>
        <v/>
      </c>
    </row>
    <row r="5"/>
    <row r="6">
      <c r="A6" s="5" t="inlineStr">
        <is>
          <t>【資金分配】</t>
        </is>
      </c>
    </row>
    <row r="7">
      <c r="A7" s="6" t="inlineStr">
        <is>
          <t>進頭獎彩池（提撥）</t>
        </is>
      </c>
      <c r="B7" s="16">
        <f>B4*'輸入參數'!$B$8</f>
        <v/>
      </c>
      <c r="C7" s="16">
        <f>C4*'輸入參數'!$B$8</f>
        <v/>
      </c>
      <c r="D7" s="16">
        <f>D4*'輸入參數'!$B$8</f>
        <v/>
      </c>
      <c r="E7" s="16">
        <f>E4*'輸入參數'!$B$8</f>
        <v/>
      </c>
    </row>
    <row r="8">
      <c r="A8" s="6" t="inlineStr">
        <is>
          <t>推廣分潤</t>
        </is>
      </c>
      <c r="B8" s="16">
        <f>B4*('輸入參數'!$B$9+'輸入參數'!$B$10)</f>
        <v/>
      </c>
      <c r="C8" s="16">
        <f>C4*('輸入參數'!$B$9+'輸入參數'!$B$10)</f>
        <v/>
      </c>
      <c r="D8" s="16">
        <f>D4*('輸入參數'!$B$9+'輸入參數'!$B$10)</f>
        <v/>
      </c>
      <c r="E8" s="16">
        <f>E4*('輸入參數'!$B$9+'輸入參數'!$B$10)</f>
        <v/>
      </c>
    </row>
    <row r="9">
      <c r="A9" s="6" t="inlineStr">
        <is>
          <t>平台份額</t>
        </is>
      </c>
      <c r="B9" s="16">
        <f>B4-B7-B8</f>
        <v/>
      </c>
      <c r="C9" s="16">
        <f>C4-C7-C8</f>
        <v/>
      </c>
      <c r="D9" s="16">
        <f>D4-D7-D8</f>
        <v/>
      </c>
      <c r="E9" s="16">
        <f>E4-E7-E8</f>
        <v/>
      </c>
    </row>
    <row r="10"/>
    <row r="11">
      <c r="A11" s="5" t="inlineStr">
        <is>
          <t>【平台支出】</t>
        </is>
      </c>
    </row>
    <row r="12">
      <c r="A12" s="6" t="inlineStr">
        <is>
          <t>上游下注成本</t>
        </is>
      </c>
      <c r="B12" s="16">
        <f>B3*'輸入參數'!$B$11</f>
        <v/>
      </c>
      <c r="C12" s="16">
        <f>C3*'輸入參數'!$B$11</f>
        <v/>
      </c>
      <c r="D12" s="16">
        <f>D3*'輸入參數'!$B$11</f>
        <v/>
      </c>
      <c r="E12" s="16">
        <f>E3*'輸入參數'!$B$11</f>
        <v/>
      </c>
    </row>
    <row r="13">
      <c r="A13" s="6" t="inlineStr">
        <is>
          <t>固定獎金（中 1–3 碼）</t>
        </is>
      </c>
      <c r="B13" s="16">
        <f>B3*('機率'!$C$4*'輸入參數'!$B$4+'機率'!$C$5*'輸入參數'!$B$5+'機率'!$C$6*'輸入參數'!$B$6)</f>
        <v/>
      </c>
      <c r="C13" s="16">
        <f>C3*('機率'!$C$4*'輸入參數'!$B$4+'機率'!$C$5*'輸入參數'!$B$5+'機率'!$C$6*'輸入參數'!$B$6)</f>
        <v/>
      </c>
      <c r="D13" s="16">
        <f>D3*('機率'!$C$4*'輸入參數'!$B$4+'機率'!$C$5*'輸入參數'!$B$5+'機率'!$C$6*'輸入參數'!$B$6)</f>
        <v/>
      </c>
      <c r="E13" s="16">
        <f>E3*('機率'!$C$4*'輸入參數'!$B$4+'機率'!$C$5*'輸入參數'!$B$5+'機率'!$C$6*'輸入參數'!$B$6)</f>
        <v/>
      </c>
    </row>
    <row r="14">
      <c r="A14" s="6" t="inlineStr">
        <is>
          <t>4 碼保底獎（近似）</t>
        </is>
      </c>
      <c r="B14" s="16">
        <f>B3*'機率'!$C$7*(1-(1-'機率'!$C$8)^B3)*'輸入參數'!$B$7</f>
        <v/>
      </c>
      <c r="C14" s="16">
        <f>C3*'機率'!$C$7*(1-(1-'機率'!$C$8)^C3)*'輸入參數'!$B$7</f>
        <v/>
      </c>
      <c r="D14" s="16">
        <f>D3*'機率'!$C$7*(1-(1-'機率'!$C$8)^D3)*'輸入參數'!$B$7</f>
        <v/>
      </c>
      <c r="E14" s="16">
        <f>E3*'機率'!$C$7*(1-(1-'機率'!$C$8)^E3)*'輸入參數'!$B$7</f>
        <v/>
      </c>
    </row>
    <row r="15">
      <c r="A15" s="6" t="inlineStr">
        <is>
          <t>energy 代付（含 ② 自動派獎、每期搬移）</t>
        </is>
      </c>
      <c r="B15" s="16">
        <f>((B3*('輸入參數'!$B$16*'輸入參數'!$B$21+'輸入參數'!$B$17*'輸入參數'!$B$22+'輸入參數'!$B$18*'輸入參數'!$B$23+'輸入參數'!$B$24))+(B3*'輸入參數'!$B$17*('機率'!$C$4+'機率'!$C$5+'機率'!$C$6+'機率'!$C$7+'機率'!$C$8)*'輸入參數'!$B$25)+('輸入參數'!$B$26*'輸入參數'!$B$27))*'輸入參數'!$B$19/1000000*'輸入參數'!$B$20</f>
        <v/>
      </c>
      <c r="C15" s="16">
        <f>((C3*('輸入參數'!$B$16*'輸入參數'!$B$21+'輸入參數'!$B$17*'輸入參數'!$B$22+'輸入參數'!$B$18*'輸入參數'!$B$23+'輸入參數'!$B$24))+(C3*'輸入參數'!$B$17*('機率'!$C$4+'機率'!$C$5+'機率'!$C$6+'機率'!$C$7+'機率'!$C$8)*'輸入參數'!$B$25)+('輸入參數'!$B$26*'輸入參數'!$B$27))*'輸入參數'!$B$19/1000000*'輸入參數'!$B$20</f>
        <v/>
      </c>
      <c r="D15" s="16">
        <f>((D3*('輸入參數'!$B$16*'輸入參數'!$B$21+'輸入參數'!$B$17*'輸入參數'!$B$22+'輸入參數'!$B$18*'輸入參數'!$B$23+'輸入參數'!$B$24))+(D3*'輸入參數'!$B$17*('機率'!$C$4+'機率'!$C$5+'機率'!$C$6+'機率'!$C$7+'機率'!$C$8)*'輸入參數'!$B$25)+('輸入參數'!$B$26*'輸入參數'!$B$27))*'輸入參數'!$B$19/1000000*'輸入參數'!$B$20</f>
        <v/>
      </c>
      <c r="E15" s="16">
        <f>((E3*('輸入參數'!$B$16*'輸入參數'!$B$21+'輸入參數'!$B$17*'輸入參數'!$B$22+'輸入參數'!$B$18*'輸入參數'!$B$23+'輸入參數'!$B$24))+(E3*'輸入參數'!$B$17*('機率'!$C$4+'機率'!$C$5+'機率'!$C$6+'機率'!$C$7+'機率'!$C$8)*'輸入參數'!$B$25)+('輸入參數'!$B$26*'輸入參數'!$B$27))*'輸入參數'!$B$19/1000000*'輸入參數'!$B$20</f>
        <v/>
      </c>
    </row>
    <row r="16">
      <c r="A16" s="15" t="inlineStr">
        <is>
          <t>支出合計</t>
        </is>
      </c>
      <c r="B16" s="17">
        <f>B12+B13+B14+B15</f>
        <v/>
      </c>
      <c r="C16" s="17">
        <f>C12+C13+C14+C15</f>
        <v/>
      </c>
      <c r="D16" s="17">
        <f>D12+D13+D14+D15</f>
        <v/>
      </c>
      <c r="E16" s="17">
        <f>E12+E13+E14+E15</f>
        <v/>
      </c>
    </row>
    <row r="17"/>
    <row r="18">
      <c r="A18" s="5" t="inlineStr">
        <is>
          <t>【平台收入】</t>
        </is>
      </c>
    </row>
    <row r="19">
      <c r="A19" s="6" t="inlineStr">
        <is>
          <t>上游回收（中 2 碼以上）</t>
        </is>
      </c>
      <c r="B19" s="16">
        <f>B3*('機率'!$C$5*'輸入參數'!$B$12+'機率'!$C$6*'輸入參數'!$B$13+'機率'!$C$7*'輸入參數'!$B$14+'機率'!$C$8*'輸入參數'!$B$15)</f>
        <v/>
      </c>
      <c r="C19" s="16">
        <f>C3*('機率'!$C$5*'輸入參數'!$B$12+'機率'!$C$6*'輸入參數'!$B$13+'機率'!$C$7*'輸入參數'!$B$14+'機率'!$C$8*'輸入參數'!$B$15)</f>
        <v/>
      </c>
      <c r="D19" s="16">
        <f>D3*('機率'!$C$5*'輸入參數'!$B$12+'機率'!$C$6*'輸入參數'!$B$13+'機率'!$C$7*'輸入參數'!$B$14+'機率'!$C$8*'輸入參數'!$B$15)</f>
        <v/>
      </c>
      <c r="E19" s="16">
        <f>E3*('機率'!$C$5*'輸入參數'!$B$12+'機率'!$C$6*'輸入參數'!$B$13+'機率'!$C$7*'輸入參數'!$B$14+'機率'!$C$8*'輸入參數'!$B$15)</f>
        <v/>
      </c>
    </row>
    <row r="20"/>
    <row r="21">
      <c r="A21" s="5" t="inlineStr">
        <is>
          <t>【頭獎彩池】</t>
        </is>
      </c>
    </row>
    <row r="22">
      <c r="A22" s="6" t="inlineStr">
        <is>
          <t>該期有人中頭獎機率</t>
        </is>
      </c>
      <c r="B22" s="18">
        <f>1-(1-'機率'!$C$10)^B3</f>
        <v/>
      </c>
      <c r="C22" s="18">
        <f>1-(1-'機率'!$C$10)^C3</f>
        <v/>
      </c>
      <c r="D22" s="18">
        <f>1-(1-'機率'!$C$10)^D3</f>
        <v/>
      </c>
      <c r="E22" s="18">
        <f>1-(1-'機率'!$C$10)^E3</f>
        <v/>
      </c>
    </row>
    <row r="23">
      <c r="A23" s="6" t="inlineStr">
        <is>
          <t>方案一：開獎時平均彩池規模</t>
        </is>
      </c>
      <c r="B23" s="16">
        <f>IFERROR(B7/(0.8*B22),0)</f>
        <v/>
      </c>
      <c r="C23" s="16">
        <f>IFERROR(C7/(0.8*C22),0)</f>
        <v/>
      </c>
      <c r="D23" s="16">
        <f>IFERROR(D7/(0.8*D22),0)</f>
        <v/>
      </c>
      <c r="E23" s="16">
        <f>IFERROR(E7/(0.8*E22),0)</f>
        <v/>
      </c>
    </row>
    <row r="24">
      <c r="A24" s="6" t="inlineStr">
        <is>
          <t>方案二：開獎時平均彩池規模</t>
        </is>
      </c>
      <c r="B24" s="16">
        <f>1.25*B7</f>
        <v/>
      </c>
      <c r="C24" s="16">
        <f>1.25*C7</f>
        <v/>
      </c>
      <c r="D24" s="16">
        <f>1.25*D7</f>
        <v/>
      </c>
      <c r="E24" s="16">
        <f>1.25*E7</f>
        <v/>
      </c>
    </row>
    <row r="25">
      <c r="A25" s="6" t="inlineStr">
        <is>
          <t>方案二：平台平均每期收回</t>
        </is>
      </c>
      <c r="B25" s="16">
        <f>(1-B22)*B7</f>
        <v/>
      </c>
      <c r="C25" s="16">
        <f>(1-C22)*C7</f>
        <v/>
      </c>
      <c r="D25" s="16">
        <f>(1-D22)*D7</f>
        <v/>
      </c>
      <c r="E25" s="16">
        <f>(1-E22)*E7</f>
        <v/>
      </c>
    </row>
    <row r="26"/>
    <row r="27">
      <c r="A27" s="5" t="inlineStr">
        <is>
          <t>【結果】</t>
        </is>
      </c>
    </row>
    <row r="28">
      <c r="A28" s="15" t="inlineStr">
        <is>
          <t>平台淨利 — 方案一（全額滾存）</t>
        </is>
      </c>
      <c r="B28" s="17">
        <f>B9+B19-B16</f>
        <v/>
      </c>
      <c r="C28" s="17">
        <f>C9+C19-C16</f>
        <v/>
      </c>
      <c r="D28" s="17">
        <f>D9+D19-D16</f>
        <v/>
      </c>
      <c r="E28" s="17">
        <f>E9+E19-E16</f>
        <v/>
      </c>
    </row>
    <row r="29">
      <c r="A29" s="15" t="inlineStr">
        <is>
          <t>平台淨利 — 方案二（留 20% 其餘歸平台）</t>
        </is>
      </c>
      <c r="B29" s="17">
        <f>B28+B25</f>
        <v/>
      </c>
      <c r="C29" s="17">
        <f>C28+C25</f>
        <v/>
      </c>
      <c r="D29" s="17">
        <f>D28+D25</f>
        <v/>
      </c>
      <c r="E29" s="17">
        <f>E28+E25</f>
        <v/>
      </c>
    </row>
    <row r="30">
      <c r="A30" s="6" t="inlineStr">
        <is>
          <t>平台淨利率 — 方案一</t>
        </is>
      </c>
      <c r="B30" s="18">
        <f>IFERROR(B28/B4,0)</f>
        <v/>
      </c>
      <c r="C30" s="18">
        <f>IFERROR(C28/C4,0)</f>
        <v/>
      </c>
      <c r="D30" s="18">
        <f>IFERROR(D28/D4,0)</f>
        <v/>
      </c>
      <c r="E30" s="18">
        <f>IFERROR(E28/E4,0)</f>
        <v/>
      </c>
    </row>
    <row r="31">
      <c r="A31" s="6" t="inlineStr">
        <is>
          <t>平台淨利率 — 方案二</t>
        </is>
      </c>
      <c r="B31" s="18">
        <f>IFERROR(B29/B4,0)</f>
        <v/>
      </c>
      <c r="C31" s="18">
        <f>IFERROR(C29/C4,0)</f>
        <v/>
      </c>
      <c r="D31" s="18">
        <f>IFERROR(D29/D4,0)</f>
        <v/>
      </c>
      <c r="E31" s="18">
        <f>IFERROR(E29/E4,0)</f>
        <v/>
      </c>
    </row>
    <row r="32">
      <c r="A32" s="6" t="inlineStr">
        <is>
          <t>玩家回報率 — 方案一</t>
        </is>
      </c>
      <c r="B32" s="18">
        <f>IFERROR((B13+B14+B7)/B4,0)</f>
        <v/>
      </c>
      <c r="C32" s="18">
        <f>IFERROR((C13+C14+C7)/C4,0)</f>
        <v/>
      </c>
      <c r="D32" s="18">
        <f>IFERROR((D13+D14+D7)/D4,0)</f>
        <v/>
      </c>
      <c r="E32" s="18">
        <f>IFERROR((E13+E14+E7)/E4,0)</f>
        <v/>
      </c>
    </row>
    <row r="33">
      <c r="A33" s="6" t="inlineStr">
        <is>
          <t>玩家回報率 — 方案二</t>
        </is>
      </c>
      <c r="B33" s="18">
        <f>IFERROR((B13+B14+B22*B7)/B4,0)</f>
        <v/>
      </c>
      <c r="C33" s="18">
        <f>IFERROR((C13+C14+C22*C7)/C4,0)</f>
        <v/>
      </c>
      <c r="D33" s="18">
        <f>IFERROR((D13+D14+D22*D7)/D4,0)</f>
        <v/>
      </c>
      <c r="E33" s="18">
        <f>IFERROR((E13+E14+E22*E7)/E4,0)</f>
        <v/>
      </c>
    </row>
    <row r="34">
      <c r="A34" s="6" t="inlineStr">
        <is>
          <t>每注平台淨利 — 方案一</t>
        </is>
      </c>
      <c r="B34" s="16">
        <f>IFERROR(B28/B3,0)</f>
        <v/>
      </c>
      <c r="C34" s="16">
        <f>IFERROR(C28/C3,0)</f>
        <v/>
      </c>
      <c r="D34" s="16">
        <f>IFERROR(D28/D3,0)</f>
        <v/>
      </c>
      <c r="E34" s="16">
        <f>IFERROR(E28/E3,0)</f>
        <v/>
      </c>
    </row>
    <row r="35">
      <c r="A35" s="6" t="inlineStr">
        <is>
          <t>每注平台淨利 — 方案二</t>
        </is>
      </c>
      <c r="B35" s="16">
        <f>IFERROR(B29/B3,0)</f>
        <v/>
      </c>
      <c r="C35" s="16">
        <f>IFERROR(C29/C3,0)</f>
        <v/>
      </c>
      <c r="D35" s="16">
        <f>IFERROR(D29/D3,0)</f>
        <v/>
      </c>
      <c r="E35" s="16">
        <f>IFERROR(E29/E3,0)</f>
        <v/>
      </c>
    </row>
    <row r="36"/>
    <row r="37">
      <c r="A37" s="19" t="inlineStr">
        <is>
          <t>提醒：上游成本與派彩尚未填入（皆為 0），上方淨利目前不具參考價值。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2026-10-01T22:13:23Z</dcterms:created>
  <dcterms:modified xmlns:dcterms="http://purl.org/dc/terms/" xmlns:xsi="http://www.w3.org/2001/XMLSchema-instance" xsi:type="dcterms:W3CDTF">2026-10-01T22:13:23Z</dcterms:modified>
</cp:coreProperties>
</file>